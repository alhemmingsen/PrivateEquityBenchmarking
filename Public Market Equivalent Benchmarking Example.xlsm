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Hemmingsen\Downloads\"/>
    </mc:Choice>
  </mc:AlternateContent>
  <xr:revisionPtr revIDLastSave="0" documentId="8_{82AB3FFF-1D12-4C85-B169-13E5541188AF}" xr6:coauthVersionLast="47" xr6:coauthVersionMax="47" xr10:uidLastSave="{00000000-0000-0000-0000-000000000000}"/>
  <bookViews>
    <workbookView xWindow="28680" yWindow="-120" windowWidth="29040" windowHeight="15840" xr2:uid="{47E20A53-D716-4A99-A938-FF66DE4E07A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1" l="1"/>
  <c r="F2" i="1" a="1"/>
  <c r="F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<sst xmlns="http://schemas.openxmlformats.org/spreadsheetml/2006/main" count="6" uniqueCount="6">
  <si>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Dates</t>
  </si>
  <si>
    <t>Cashflows</t>
  </si>
  <si>
    <t>Public Market Index Values</t>
  </si>
  <si>
    <t>IRR for Fund</t>
  </si>
  <si>
    <t>Public Market Equivalent</t>
  </si>
  <si>
    <t>Note that PME+ methodology requires &gt;=2 positive cash flows. In this example, there is no distribution, only a ending market value of 700 at 12/31/12. This issue is resolved by adding an artifically small positive cash flow at 12/30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</si>
</sst>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0" fontId="0" fillId="0" borderId="0" xfId="0" applyNumberFormat="1"/>
    <xf numFmtId="14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9A354-06EA-43DB-9F32-D3BE7BA36757}">
  <sheetPr codeName="Sheet1"/>
  <dimension ref="A1:F7"/>
  <sheetViews>
    <sheetView tabSelected="1" workbookViewId="0">
      <selection activeCell="D15" sqref="D15"/>
    </sheetView>
  </sheetViews>
  <sheetFormatPr defaultRowHeight="14.4" x14ac:dyDescent="0.3"/>
  <cols>
    <col min="1" max="1" width="13" customWidth="1"/>
    <col min="2" max="2" width="9.6640625" bestFit="1" customWidth="1"/>
    <col min="3" max="3" width="24.88671875" bestFit="1" customWidth="1"/>
    <col min="4" max="4" width="26.77734375" customWidth="1"/>
    <col min="5" max="5" width="27.6640625" customWidth="1"/>
    <col min="6" max="6" width="22.77734375" bestFit="1" customWidth="1"/>
  </cols>
  <sheetData>
    <row r="1" spans="1:6" x14ac:dyDescent="0.3">
      <c r="A1" t="s">
        <v>0</v>
      </c>
      <c r="B1" t="s">
        <v>1</v>
      </c>
      <c r="C1" t="s">
        <v>2</v>
      </c>
      <c r="E1" t="s">
        <v>3</v>
      </c>
      <c r="F1" t="s">
        <v>4</v>
      </c>
    </row>
    <row r="2" spans="1:6" x14ac:dyDescent="0.3">
      <c r="A2" s="1">
        <v>39448</v>
      </c>
      <c r="B2">
        <v>-100</v>
      </c>
      <c r="C2">
        <v>10</v>
      </c>
      <c r="E2" s="2">
        <f>XIRR(B2:B7,A2:A7)</f>
        <v>0.18425255417823794</v>
      </c>
      <c r="F2" s="2" cm="1">
        <f t="array" ref="F2">PMEPLUSBenchmark(A2:A7,B2:B7,C2:C7)</f>
        <v>8.9073786139488242E-2</v>
      </c>
    </row>
    <row r="3" spans="1:6" x14ac:dyDescent="0.3">
      <c r="A3" s="1">
        <v>39814</v>
      </c>
      <c r="B3">
        <v>-100</v>
      </c>
      <c r="C3">
        <v>11</v>
      </c>
    </row>
    <row r="4" spans="1:6" x14ac:dyDescent="0.3">
      <c r="A4" s="1">
        <v>40359</v>
      </c>
      <c r="B4">
        <v>-100</v>
      </c>
      <c r="C4">
        <v>12</v>
      </c>
    </row>
    <row r="5" spans="1:6" x14ac:dyDescent="0.3">
      <c r="A5" s="1">
        <v>40908</v>
      </c>
      <c r="B5">
        <v>-100</v>
      </c>
      <c r="C5">
        <v>13</v>
      </c>
    </row>
    <row r="6" spans="1:6" x14ac:dyDescent="0.3">
      <c r="A6" s="3">
        <v>41273</v>
      </c>
      <c r="B6" s="4">
        <v>1</v>
      </c>
      <c r="C6" s="4">
        <v>15</v>
      </c>
      <c r="D6" t="s">
        <v>5</v>
      </c>
    </row>
    <row r="7" spans="1:6" x14ac:dyDescent="0.3">
      <c r="A7" s="1">
        <v>41274</v>
      </c>
      <c r="B7">
        <v>700</v>
      </c>
      <c r="C7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 Hemmingsen</dc:creator>
  <cp:lastModifiedBy>Al Hemmingsen</cp:lastModifiedBy>
  <dcterms:created xsi:type="dcterms:W3CDTF">2022-06-29T14:09:26Z</dcterms:created>
  <dcterms:modified xsi:type="dcterms:W3CDTF">2022-06-29T14:16:29Z</dcterms:modified>
</cp:coreProperties>
</file>